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/>
  <mc:AlternateContent xmlns:mc="http://schemas.openxmlformats.org/markup-compatibility/2006">
    <mc:Choice Requires="x15">
      <x15ac:absPath xmlns:x15ac="http://schemas.microsoft.com/office/spreadsheetml/2010/11/ac" url="C:\Users\3406TAN-01\Downloads\"/>
    </mc:Choice>
  </mc:AlternateContent>
  <xr:revisionPtr revIDLastSave="0" documentId="13_ncr:1_{17C73E85-AFE0-4923-BDAF-54A4A12F80CE}" xr6:coauthVersionLast="36" xr6:coauthVersionMax="36" xr10:uidLastSave="{00000000-0000-0000-0000-000000000000}"/>
  <bookViews>
    <workbookView xWindow="0" yWindow="0" windowWidth="21570" windowHeight="7980" activeTab="1" xr2:uid="{00000000-000D-0000-FFFF-FFFF00000000}"/>
  </bookViews>
  <sheets>
    <sheet name="VLANs" sheetId="1" r:id="rId1"/>
    <sheet name="DeviceIP" sheetId="2" r:id="rId2"/>
    <sheet name="Router IP" sheetId="4" r:id="rId3"/>
    <sheet name="Device$" sheetId="3" r:id="rId4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3" l="1"/>
  <c r="E12" i="3"/>
  <c r="E11" i="3"/>
  <c r="E10" i="3"/>
  <c r="E9" i="3"/>
  <c r="E8" i="3"/>
  <c r="E7" i="3"/>
  <c r="E5" i="3"/>
  <c r="E6" i="3"/>
  <c r="E4" i="3"/>
  <c r="E3" i="3"/>
  <c r="E2" i="3"/>
</calcChain>
</file>

<file path=xl/sharedStrings.xml><?xml version="1.0" encoding="utf-8"?>
<sst xmlns="http://schemas.openxmlformats.org/spreadsheetml/2006/main" count="331" uniqueCount="186">
  <si>
    <t>vendég</t>
  </si>
  <si>
    <t>192.168.10.0</t>
  </si>
  <si>
    <t>172.16.10.0</t>
  </si>
  <si>
    <t>szerver</t>
  </si>
  <si>
    <t>10.10.10.0</t>
  </si>
  <si>
    <t>dolgozó</t>
  </si>
  <si>
    <t>192.168.20.0</t>
  </si>
  <si>
    <t>172.16.20.0</t>
  </si>
  <si>
    <t>admin</t>
  </si>
  <si>
    <t>10.10.40.0</t>
  </si>
  <si>
    <t>főnök</t>
  </si>
  <si>
    <t>192.168.30.0</t>
  </si>
  <si>
    <t>dead</t>
  </si>
  <si>
    <t>x</t>
  </si>
  <si>
    <t>192.168.40.0</t>
  </si>
  <si>
    <t>192.168.50.0</t>
  </si>
  <si>
    <t xml:space="preserve">natív </t>
  </si>
  <si>
    <t>natív</t>
  </si>
  <si>
    <t>172.16.90.0</t>
  </si>
  <si>
    <t>nativ</t>
  </si>
  <si>
    <t>10.10.90.0</t>
  </si>
  <si>
    <t>Main office</t>
  </si>
  <si>
    <t>Device name</t>
  </si>
  <si>
    <t>Sales office</t>
  </si>
  <si>
    <t>Factory</t>
  </si>
  <si>
    <t>Remote Server Facility</t>
  </si>
  <si>
    <t>R_main</t>
  </si>
  <si>
    <t>G0/0</t>
  </si>
  <si>
    <t>G2/0.10</t>
  </si>
  <si>
    <t>G2/0.20</t>
  </si>
  <si>
    <t>G2/0.30</t>
  </si>
  <si>
    <t>G2/0.40</t>
  </si>
  <si>
    <t>G2/0.50</t>
  </si>
  <si>
    <t>G2/0.60</t>
  </si>
  <si>
    <t>192.168.10.1/24</t>
  </si>
  <si>
    <t>192.168.20.1/24</t>
  </si>
  <si>
    <t>192.168.30.1/24</t>
  </si>
  <si>
    <t>192.168.40.1/24</t>
  </si>
  <si>
    <t>192.168.50.1/24</t>
  </si>
  <si>
    <t>192.168.60.1/24</t>
  </si>
  <si>
    <t xml:space="preserve">Sw_main </t>
  </si>
  <si>
    <t>Fa0/1</t>
  </si>
  <si>
    <t>Fa0/2</t>
  </si>
  <si>
    <t>Fa0/3</t>
  </si>
  <si>
    <t>Fa0/4</t>
  </si>
  <si>
    <t>Fa0/5</t>
  </si>
  <si>
    <t>Fa0/6</t>
  </si>
  <si>
    <t>Fa0/7</t>
  </si>
  <si>
    <t>Fa0/9</t>
  </si>
  <si>
    <t>Fa0/10</t>
  </si>
  <si>
    <t>Fa0/11</t>
  </si>
  <si>
    <t>G0/1</t>
  </si>
  <si>
    <t>Interfaces</t>
  </si>
  <si>
    <t>Sw_sales</t>
  </si>
  <si>
    <t>IP/Connection</t>
  </si>
  <si>
    <t>trunk</t>
  </si>
  <si>
    <t>192.168.20.254/24</t>
  </si>
  <si>
    <t>192.168.40.254/24</t>
  </si>
  <si>
    <t>192.168.50.254/24</t>
  </si>
  <si>
    <t>192.168.30.254/24</t>
  </si>
  <si>
    <t>Gig0</t>
  </si>
  <si>
    <t>192.168.50.2/24</t>
  </si>
  <si>
    <t>Net_ctrl</t>
  </si>
  <si>
    <t>G0/2</t>
  </si>
  <si>
    <t>192.168.50.10/24</t>
  </si>
  <si>
    <t>Pc_Admin</t>
  </si>
  <si>
    <t>Fa0</t>
  </si>
  <si>
    <t>Pc_E1</t>
  </si>
  <si>
    <t>Pc_E2</t>
  </si>
  <si>
    <t>Pc_E3</t>
  </si>
  <si>
    <t>Pc_E4</t>
  </si>
  <si>
    <t>Pc_Boss</t>
  </si>
  <si>
    <t>DHCP</t>
  </si>
  <si>
    <t>R_backup</t>
  </si>
  <si>
    <t>192.168.10.2/24</t>
  </si>
  <si>
    <t>192.168.20.2/24</t>
  </si>
  <si>
    <t>192.168.30.2/24</t>
  </si>
  <si>
    <t>192.168.40.2/24</t>
  </si>
  <si>
    <t>192.168.60.2/24</t>
  </si>
  <si>
    <t>192.168.50.11/24</t>
  </si>
  <si>
    <t>192.168.40.10/24</t>
  </si>
  <si>
    <t>192.168.10.10/24</t>
  </si>
  <si>
    <t>Sw_main</t>
  </si>
  <si>
    <t>Wifi</t>
  </si>
  <si>
    <t>LAN</t>
  </si>
  <si>
    <t>S_printer</t>
  </si>
  <si>
    <t>M_printer</t>
  </si>
  <si>
    <t>Sales_pc1</t>
  </si>
  <si>
    <t>Sales_pc2</t>
  </si>
  <si>
    <t>RFID-reader</t>
  </si>
  <si>
    <t>10.10.10.10/28</t>
  </si>
  <si>
    <t>LM_Windows</t>
  </si>
  <si>
    <t>G0</t>
  </si>
  <si>
    <t>LM_Syslog</t>
  </si>
  <si>
    <t>LM_Linux_SRV</t>
  </si>
  <si>
    <t>10.10.10.11/28</t>
  </si>
  <si>
    <t>Sw_factory</t>
  </si>
  <si>
    <t>R_factory</t>
  </si>
  <si>
    <t>F_printer</t>
  </si>
  <si>
    <t>Factory_pc1</t>
  </si>
  <si>
    <t>Factory_pc2</t>
  </si>
  <si>
    <t>Factory_pc3</t>
  </si>
  <si>
    <t>Factory_pc4</t>
  </si>
  <si>
    <t>Factory_pc5</t>
  </si>
  <si>
    <t>Factory_pc6</t>
  </si>
  <si>
    <t>Factory_pc7</t>
  </si>
  <si>
    <t>Factory_pc8</t>
  </si>
  <si>
    <t>Fa0/8</t>
  </si>
  <si>
    <t>172.16.40.0</t>
  </si>
  <si>
    <t>G1/0.20</t>
  </si>
  <si>
    <t>G1/0.40</t>
  </si>
  <si>
    <t>G1/0.10</t>
  </si>
  <si>
    <t>172.16.10.1/24</t>
  </si>
  <si>
    <t>172.16.40.1/24</t>
  </si>
  <si>
    <t>172.16.20.254/24</t>
  </si>
  <si>
    <t>Device type</t>
  </si>
  <si>
    <t>amount</t>
  </si>
  <si>
    <t>Total price</t>
  </si>
  <si>
    <t>Link to web</t>
  </si>
  <si>
    <t>Price per piece</t>
  </si>
  <si>
    <t>Computer</t>
  </si>
  <si>
    <t>Switch</t>
  </si>
  <si>
    <t>Cisco C9200L-24T-4G-E</t>
  </si>
  <si>
    <t>Katt ide!</t>
  </si>
  <si>
    <t>Router</t>
  </si>
  <si>
    <t>Router Cisco 1921/K9</t>
  </si>
  <si>
    <t>Printer</t>
  </si>
  <si>
    <t>HP LaserJet Pro 4102dw</t>
  </si>
  <si>
    <t>Server</t>
  </si>
  <si>
    <t>IPv6</t>
  </si>
  <si>
    <t>Hard Drive</t>
  </si>
  <si>
    <t>Server DELL R650 10SFF</t>
  </si>
  <si>
    <t>Seagate Exos Nearline Enterprise Hard Drive 8TB</t>
  </si>
  <si>
    <t>DELL EMC PowerEdge R640 (10xSFF)</t>
  </si>
  <si>
    <t>Dell OptiPlex 3070 SFF + Monitor Lenovo ThinkVision T24i-10 23,8"</t>
  </si>
  <si>
    <t>MIKROTIK - RB4011iGS+5HacQ2HnD-IN</t>
  </si>
  <si>
    <t>WiFi Router</t>
  </si>
  <si>
    <t>Cable</t>
  </si>
  <si>
    <t>UNV CAB-LC3110B-E-IN (305 méter)</t>
  </si>
  <si>
    <t>50M/165FT OM3/OM4 LC to LC Outdoor Armored Fiber Optic Patch Cable</t>
  </si>
  <si>
    <t>In total:</t>
  </si>
  <si>
    <t>Gig0/0/0</t>
  </si>
  <si>
    <t>ISP</t>
  </si>
  <si>
    <t>Gig0/1/0</t>
  </si>
  <si>
    <t>Gig0/2/0</t>
  </si>
  <si>
    <t>Building network</t>
  </si>
  <si>
    <t>172.16.10.5</t>
  </si>
  <si>
    <t>.3</t>
  </si>
  <si>
    <t>BGP</t>
  </si>
  <si>
    <t>192.168.20.253/24</t>
  </si>
  <si>
    <t>100.10.10.1</t>
  </si>
  <si>
    <t>R_server</t>
  </si>
  <si>
    <t>100.10.10.2</t>
  </si>
  <si>
    <t>100.20.20.1</t>
  </si>
  <si>
    <t>100.30.30.1</t>
  </si>
  <si>
    <t>100.20.20.2</t>
  </si>
  <si>
    <t>100.30.30.2</t>
  </si>
  <si>
    <t>100.40.40.1</t>
  </si>
  <si>
    <t>100.50.50.1</t>
  </si>
  <si>
    <t>100.40.40.2</t>
  </si>
  <si>
    <t>100.50.50.2</t>
  </si>
  <si>
    <t>-</t>
  </si>
  <si>
    <t>router bgp #</t>
  </si>
  <si>
    <t>red con/ospf</t>
  </si>
  <si>
    <t>network # mask #</t>
  </si>
  <si>
    <t>neighbor # rem #</t>
  </si>
  <si>
    <t>OSPF</t>
  </si>
  <si>
    <t>router ospf 1</t>
  </si>
  <si>
    <t>red bgp</t>
  </si>
  <si>
    <t>network # wildcard mask #</t>
  </si>
  <si>
    <t>172.16.20.250/24</t>
  </si>
  <si>
    <t>192.168.90.0</t>
  </si>
  <si>
    <t>Iroda</t>
  </si>
  <si>
    <t>Gyár</t>
  </si>
  <si>
    <t xml:space="preserve">Szerver telep </t>
  </si>
  <si>
    <t>VLAN ID</t>
  </si>
  <si>
    <t>VLAN név</t>
  </si>
  <si>
    <t>Hál. Cím /24</t>
  </si>
  <si>
    <t>Hál. Cím /28</t>
  </si>
  <si>
    <t>HSRP IP</t>
  </si>
  <si>
    <t>VLAN/trunk</t>
  </si>
  <si>
    <t>Interface</t>
  </si>
  <si>
    <t>IP address</t>
  </si>
  <si>
    <t>DHCPv6</t>
  </si>
  <si>
    <t>172.16.20.1/24 ; 2001:20::1/64</t>
  </si>
  <si>
    <t>LM_Factory_w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</si>
</sst>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Ft&quot;_-;\-* #,##0.00\ &quot;Ft&quot;_-;_-* &quot;-&quot;??\ &quot;Ft&quot;_-;_-@_-"/>
    <numFmt numFmtId="164" formatCode="_-* #,##0\ &quot;Ft&quot;_-;\-* #,##0\ &quot;Ft&quot;_-;_-* &quot;-&quot;??\ &quot;Ft&quot;_-;_-@_-"/>
  </numFmts>
  <fonts count="9" x14ac:knownFonts="1">
    <font>
      <sz val="11"/>
      <name val="Calibri"/>
      <scheme val="minor"/>
    </font>
    <font>
      <sz val="11"/>
      <name val="Calibri"/>
      <family val="2"/>
      <charset val="238"/>
    </font>
    <font>
      <sz val="11"/>
      <name val="Calibri"/>
      <family val="2"/>
      <charset val="238"/>
    </font>
    <font>
      <sz val="11"/>
      <name val="Calibri"/>
      <family val="2"/>
      <charset val="238"/>
    </font>
    <font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b/>
      <sz val="11"/>
      <name val="Calibri"/>
      <family val="2"/>
      <charset val="238"/>
    </font>
  </fonts>
  <fills count="13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E7E6E6"/>
        <bgColor rgb="FFE7E6E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7">
    <xf numFmtId="0" fontId="0" fillId="0" borderId="0" xfId="0" applyFont="1" applyAlignment="1"/>
    <xf numFmtId="0" fontId="0" fillId="0" borderId="19" xfId="0" applyFont="1" applyBorder="1" applyAlignment="1"/>
    <xf numFmtId="0" fontId="0" fillId="0" borderId="10" xfId="0" applyFont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7" borderId="10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0" fillId="4" borderId="17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0" fillId="0" borderId="0" xfId="0" applyFont="1" applyAlignment="1">
      <alignment horizontal="center"/>
    </xf>
    <xf numFmtId="44" fontId="0" fillId="0" borderId="0" xfId="0" applyNumberFormat="1" applyFont="1" applyAlignment="1"/>
    <xf numFmtId="0" fontId="0" fillId="0" borderId="0" xfId="0" applyNumberFormat="1" applyFont="1" applyAlignment="1">
      <alignment horizontal="center"/>
    </xf>
    <xf numFmtId="0" fontId="0" fillId="0" borderId="10" xfId="0" applyNumberFormat="1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0" fillId="0" borderId="21" xfId="0" applyNumberFormat="1" applyFont="1" applyBorder="1" applyAlignment="1">
      <alignment horizontal="center"/>
    </xf>
    <xf numFmtId="0" fontId="4" fillId="10" borderId="10" xfId="0" applyFont="1" applyFill="1" applyBorder="1" applyAlignment="1">
      <alignment horizontal="center"/>
    </xf>
    <xf numFmtId="0" fontId="0" fillId="10" borderId="10" xfId="0" applyFont="1" applyFill="1" applyBorder="1" applyAlignment="1">
      <alignment horizontal="center"/>
    </xf>
    <xf numFmtId="0" fontId="0" fillId="10" borderId="10" xfId="0" applyNumberFormat="1" applyFont="1" applyFill="1" applyBorder="1" applyAlignment="1">
      <alignment horizontal="center"/>
    </xf>
    <xf numFmtId="0" fontId="4" fillId="10" borderId="31" xfId="0" applyFont="1" applyFill="1" applyBorder="1" applyAlignment="1">
      <alignment horizontal="center"/>
    </xf>
    <xf numFmtId="0" fontId="0" fillId="10" borderId="31" xfId="0" applyNumberFormat="1" applyFont="1" applyFill="1" applyBorder="1" applyAlignment="1">
      <alignment horizontal="center"/>
    </xf>
    <xf numFmtId="0" fontId="5" fillId="0" borderId="33" xfId="1" applyBorder="1" applyAlignment="1">
      <alignment horizontal="center"/>
    </xf>
    <xf numFmtId="0" fontId="5" fillId="10" borderId="34" xfId="1" applyFill="1" applyBorder="1" applyAlignment="1">
      <alignment horizontal="center"/>
    </xf>
    <xf numFmtId="0" fontId="5" fillId="0" borderId="34" xfId="1" applyBorder="1" applyAlignment="1">
      <alignment horizontal="center"/>
    </xf>
    <xf numFmtId="0" fontId="5" fillId="10" borderId="35" xfId="1" applyFill="1" applyBorder="1" applyAlignment="1">
      <alignment horizontal="center"/>
    </xf>
    <xf numFmtId="0" fontId="6" fillId="0" borderId="36" xfId="0" applyFont="1" applyBorder="1" applyAlignment="1">
      <alignment horizontal="center"/>
    </xf>
    <xf numFmtId="164" fontId="0" fillId="0" borderId="21" xfId="0" applyNumberFormat="1" applyFont="1" applyBorder="1" applyAlignment="1"/>
    <xf numFmtId="164" fontId="0" fillId="10" borderId="10" xfId="0" applyNumberFormat="1" applyFont="1" applyFill="1" applyBorder="1" applyAlignment="1"/>
    <xf numFmtId="164" fontId="0" fillId="0" borderId="10" xfId="0" applyNumberFormat="1" applyFont="1" applyBorder="1" applyAlignment="1"/>
    <xf numFmtId="164" fontId="0" fillId="10" borderId="31" xfId="0" applyNumberFormat="1" applyFont="1" applyFill="1" applyBorder="1" applyAlignment="1"/>
    <xf numFmtId="0" fontId="0" fillId="0" borderId="14" xfId="0" applyFont="1" applyBorder="1" applyAlignment="1">
      <alignment horizontal="center" vertical="center"/>
    </xf>
    <xf numFmtId="0" fontId="0" fillId="12" borderId="14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5" borderId="20" xfId="0" applyFont="1" applyFill="1" applyBorder="1" applyAlignment="1">
      <alignment horizontal="center" vertical="center"/>
    </xf>
    <xf numFmtId="0" fontId="0" fillId="5" borderId="21" xfId="0" applyFont="1" applyFill="1" applyBorder="1" applyAlignment="1">
      <alignment horizontal="center" vertical="center"/>
    </xf>
    <xf numFmtId="0" fontId="0" fillId="5" borderId="22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4" borderId="15" xfId="0" applyFont="1" applyFill="1" applyBorder="1" applyAlignment="1">
      <alignment horizontal="center" vertical="center"/>
    </xf>
    <xf numFmtId="0" fontId="0" fillId="4" borderId="18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7" borderId="15" xfId="0" applyFont="1" applyFill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0" fillId="4" borderId="14" xfId="0" applyFont="1" applyFill="1" applyBorder="1" applyAlignment="1">
      <alignment horizontal="center" vertical="center"/>
    </xf>
    <xf numFmtId="0" fontId="0" fillId="4" borderId="16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/>
    </xf>
    <xf numFmtId="0" fontId="0" fillId="5" borderId="12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0" fillId="5" borderId="13" xfId="0" applyFont="1" applyFill="1" applyBorder="1" applyAlignment="1">
      <alignment horizontal="center" vertical="center"/>
    </xf>
    <xf numFmtId="0" fontId="0" fillId="8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0" fillId="8" borderId="14" xfId="0" applyFont="1" applyFill="1" applyBorder="1" applyAlignment="1">
      <alignment horizontal="center" vertical="center"/>
    </xf>
    <xf numFmtId="0" fontId="0" fillId="8" borderId="1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9" xfId="0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/>
    </xf>
    <xf numFmtId="0" fontId="0" fillId="9" borderId="20" xfId="0" applyFont="1" applyFill="1" applyBorder="1" applyAlignment="1">
      <alignment horizontal="center" vertical="center"/>
    </xf>
    <xf numFmtId="0" fontId="0" fillId="9" borderId="21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0" fillId="9" borderId="22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12" borderId="11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12" borderId="16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0" fillId="7" borderId="17" xfId="0" applyFont="1" applyFill="1" applyBorder="1" applyAlignment="1">
      <alignment horizontal="center" vertical="center"/>
    </xf>
    <xf numFmtId="0" fontId="0" fillId="7" borderId="18" xfId="0" applyFont="1" applyFill="1" applyBorder="1" applyAlignment="1">
      <alignment horizontal="center" vertical="center"/>
    </xf>
    <xf numFmtId="0" fontId="6" fillId="10" borderId="23" xfId="0" applyFont="1" applyFill="1" applyBorder="1" applyAlignment="1">
      <alignment horizontal="center"/>
    </xf>
    <xf numFmtId="0" fontId="6" fillId="10" borderId="24" xfId="0" applyFont="1" applyFill="1" applyBorder="1" applyAlignment="1"/>
    <xf numFmtId="0" fontId="6" fillId="10" borderId="24" xfId="0" applyFont="1" applyFill="1" applyBorder="1" applyAlignment="1">
      <alignment horizontal="center"/>
    </xf>
    <xf numFmtId="0" fontId="6" fillId="10" borderId="32" xfId="0" applyFont="1" applyFill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8" xfId="0" applyNumberFormat="1" applyFont="1" applyBorder="1" applyAlignment="1">
      <alignment horizontal="center"/>
    </xf>
    <xf numFmtId="44" fontId="6" fillId="0" borderId="38" xfId="0" applyNumberFormat="1" applyFont="1" applyBorder="1" applyAlignment="1"/>
    <xf numFmtId="164" fontId="6" fillId="0" borderId="38" xfId="0" applyNumberFormat="1" applyFont="1" applyBorder="1" applyAlignment="1"/>
    <xf numFmtId="0" fontId="6" fillId="0" borderId="37" xfId="0" applyFont="1" applyBorder="1" applyAlignment="1">
      <alignment horizontal="center"/>
    </xf>
    <xf numFmtId="0" fontId="6" fillId="11" borderId="26" xfId="0" applyFont="1" applyFill="1" applyBorder="1" applyAlignment="1">
      <alignment horizontal="center" vertical="center"/>
    </xf>
    <xf numFmtId="0" fontId="6" fillId="11" borderId="27" xfId="0" applyFont="1" applyFill="1" applyBorder="1" applyAlignment="1">
      <alignment horizontal="center" vertical="center"/>
    </xf>
    <xf numFmtId="0" fontId="6" fillId="11" borderId="28" xfId="0" applyFont="1" applyFill="1" applyBorder="1" applyAlignment="1">
      <alignment horizontal="center" vertical="center"/>
    </xf>
    <xf numFmtId="0" fontId="8" fillId="6" borderId="44" xfId="0" applyFont="1" applyFill="1" applyBorder="1" applyAlignment="1">
      <alignment horizontal="center" vertical="center"/>
    </xf>
    <xf numFmtId="0" fontId="8" fillId="6" borderId="45" xfId="0" applyFont="1" applyFill="1" applyBorder="1" applyAlignment="1">
      <alignment horizontal="center" vertical="center"/>
    </xf>
    <xf numFmtId="0" fontId="8" fillId="6" borderId="46" xfId="0" applyFont="1" applyFill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6" fillId="6" borderId="26" xfId="0" applyFont="1" applyFill="1" applyBorder="1" applyAlignment="1">
      <alignment horizontal="center"/>
    </xf>
    <xf numFmtId="0" fontId="6" fillId="6" borderId="27" xfId="0" applyFont="1" applyFill="1" applyBorder="1" applyAlignment="1">
      <alignment horizontal="center"/>
    </xf>
    <xf numFmtId="0" fontId="6" fillId="6" borderId="28" xfId="0" applyFont="1" applyFill="1" applyBorder="1" applyAlignment="1">
      <alignment horizontal="center"/>
    </xf>
    <xf numFmtId="0" fontId="6" fillId="6" borderId="23" xfId="0" applyFont="1" applyFill="1" applyBorder="1" applyAlignment="1">
      <alignment horizontal="center"/>
    </xf>
    <xf numFmtId="0" fontId="6" fillId="6" borderId="24" xfId="0" applyFont="1" applyFill="1" applyBorder="1" applyAlignment="1">
      <alignment horizontal="center"/>
    </xf>
    <xf numFmtId="0" fontId="6" fillId="6" borderId="25" xfId="0" applyFont="1" applyFill="1" applyBorder="1" applyAlignment="1">
      <alignment horizontal="center"/>
    </xf>
    <xf numFmtId="0" fontId="0" fillId="0" borderId="14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8" borderId="29" xfId="0" applyFont="1" applyFill="1" applyBorder="1" applyAlignment="1">
      <alignment horizontal="center" vertical="center"/>
    </xf>
    <xf numFmtId="0" fontId="0" fillId="8" borderId="30" xfId="0" applyFont="1" applyFill="1" applyBorder="1" applyAlignment="1">
      <alignment horizontal="center" vertical="center"/>
    </xf>
    <xf numFmtId="0" fontId="0" fillId="8" borderId="20" xfId="0" applyFont="1" applyFill="1" applyBorder="1" applyAlignment="1">
      <alignment horizontal="center" vertical="center"/>
    </xf>
    <xf numFmtId="0" fontId="4" fillId="4" borderId="49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0" fillId="7" borderId="15" xfId="0" applyFont="1" applyFill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0" fillId="12" borderId="14" xfId="0" applyFont="1" applyFill="1" applyBorder="1" applyAlignment="1">
      <alignment horizontal="center" vertical="center"/>
    </xf>
    <xf numFmtId="0" fontId="0" fillId="7" borderId="10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0" fillId="8" borderId="39" xfId="0" applyFont="1" applyFill="1" applyBorder="1" applyAlignment="1">
      <alignment horizontal="center" vertical="center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firstshop.hu/mikrotik-rb4011igs5hacq2hnd-in-80211ac-10xgig-lan-sfp-10gbe-p182571" TargetMode="External"/><Relationship Id="rId3" Type="http://schemas.openxmlformats.org/officeDocument/2006/relationships/hyperlink" Target="https://toptoner.hu/spd/CD2Z622F/HP-LaserJet-Pro-4102dw-mono-lezer-multifunkcios-ny?utm_source=argep.hu&amp;utm_medium=cpc&amp;utm_campaign=google_shopping&amp;utm_term=CD2Z622F" TargetMode="External"/><Relationship Id="rId7" Type="http://schemas.openxmlformats.org/officeDocument/2006/relationships/hyperlink" Target="https://www.furbify.hu/pc-szett-dell-optiplex-3070-sff-monitor-lenovo-thinkvision-t24i-10-238-2070805?utm_source=google&amp;utm_medium=cpc&amp;utm_campaign=22477755808&amp;gad_source=1&amp;gad_campaignid=22467790266&amp;gbraid=0AAAAACo7cioGDVJS637PlFliS1z4FIcvV&amp;gclid=Cj0KCQiAy6vMBhDCARIsAK8rOglbBil8GmTtvgX9fEuQLXuQ0MtUnPPdXSTx22KRLAvurOc-6TucSnUaAnNkEALw_wcB" TargetMode="External"/><Relationship Id="rId2" Type="http://schemas.openxmlformats.org/officeDocument/2006/relationships/hyperlink" Target="https://stack-systems.com/router-cisco-1921-k9.html" TargetMode="External"/><Relationship Id="rId1" Type="http://schemas.openxmlformats.org/officeDocument/2006/relationships/hyperlink" Target="https://it-planet.com/en/p/cisco-c9200l-24t-4g-e-381120.html?number=6709268000&amp;gad_source=1&amp;gad_campaignid=17415088962&amp;gbraid=0AAAAAC89HVRqe_NpaanUPowK6z84poGTC&amp;gclid=Cj0KCQiAy6vMBhDCARIsAK8rOglxsfZAzB3kqS7mDXjAI9WeEcyxqqtDrl3EgXamxpTf1QbLB75i0iMaAgc-EALw_wcB" TargetMode="External"/><Relationship Id="rId6" Type="http://schemas.openxmlformats.org/officeDocument/2006/relationships/hyperlink" Target="https://www.servershop24.de/en/dell-emc-r640-rack-server/a-135878/" TargetMode="External"/><Relationship Id="rId11" Type="http://schemas.openxmlformats.org/officeDocument/2006/relationships/printerSettings" Target="../printerSettings/printerSettings4.bin"/><Relationship Id="rId5" Type="http://schemas.openxmlformats.org/officeDocument/2006/relationships/hyperlink" Target="https://www.amazon.de/-/en/Seagate-Nearline-Enterprise-Drive-Class/dp/B014UYHJWS/ref=sr_1_4?crid=3VZIPC9CK09V9&amp;dib=eyJ2IjoiMSJ9.2KSsqdPyqMyt93qEWnL5E3Tb4e60C1L-5gXxXOi38OUxMdUYbFn1oRcLQnnS8mtgZ08IZGsFqMObQ31aU4RvW6cvoCmUNu8LZDL7YjGnOiaclMxQu3KnZnBaCezXDteqHbGTjxZfbuw0rdg0lO_r6TX8i7B0EGtixmKEMmBeZn2Ce1tdqHgl5rwnOauysjBfeFi7AAXx5-YdSqdGy2mdldK8wRmIdztX76uyF9gk3tw.xvT5VybVGEmlHhCqkLnTHYYh-1n0oM9VXv71Kudiz_w&amp;dib_tag=se&amp;keywords=Seagate%2Bexos%2B8tb&amp;qid=1770716070&amp;sprefix=seagate%2Bexos%2B8tb%2Caps%2C149&amp;sr=8-4&amp;th=1" TargetMode="External"/><Relationship Id="rId10" Type="http://schemas.openxmlformats.org/officeDocument/2006/relationships/hyperlink" Target="https://www.amazon.com/Outdoor-Armored-Multimode-Industrial-Installed/dp/B0DSHZ8VJN/ref=sr_1_2_sspa?crid=HBPOAF42BI02&amp;dib=eyJ2IjoiMSJ9.YQq81qcuj3t9kvqcSV90IZOk-H_YtbaYTBPwL657evGDveDddAOKNwcPtwCwSazj1ffa91yf7QRxcLw4d-AIjqTm0NukxoQrHGuZbUcNtY79Ay9jFQ1Vqb7Vot2PUE-1tioxFQSrLo5vI1ANLp9LGaiNl4DFfYtYSUvllJcbVmJq6OuALzi1kItVMKXT1ysJrc2cLEw7Mant5NCYBKOItcZq21KexbKe5pw6DLcPiVA.IeBL7uY_fNUkwxgzgZNU4eMztgs6Rxmtz1t7YbXrTV8&amp;dib_tag=se&amp;keywords=fiber%2Boptic%2Bcable%2Bspool&amp;qid=1770717443&amp;sprefix=fiber%2Boptic%2Bcable%2Bspool%2Caps%2C208&amp;sr=8-2-spons&amp;sp_csd=d2lkZ2V0TmFtZT1zcF9hdGY&amp;th=1" TargetMode="External"/><Relationship Id="rId4" Type="http://schemas.openxmlformats.org/officeDocument/2006/relationships/hyperlink" Target="https://servermall.com/catalog/servers/dell-poweredge-r650-10sff-20571/" TargetMode="External"/><Relationship Id="rId9" Type="http://schemas.openxmlformats.org/officeDocument/2006/relationships/hyperlink" Target="https://topkamera.hu/termek/kulteri-utp-kabelcat-6erez-100-dob-305-meter-unv-cab-lc3110b-e-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0"/>
  <sheetViews>
    <sheetView zoomScale="115" zoomScaleNormal="115" workbookViewId="0">
      <selection activeCell="N14" sqref="N14"/>
    </sheetView>
  </sheetViews>
  <sheetFormatPr defaultColWidth="14.42578125" defaultRowHeight="15" customHeight="1" x14ac:dyDescent="0.25"/>
  <cols>
    <col min="1" max="1" width="8.140625" bestFit="1" customWidth="1"/>
    <col min="2" max="2" width="9.5703125" bestFit="1" customWidth="1"/>
    <col min="3" max="3" width="12.7109375" bestFit="1" customWidth="1"/>
    <col min="4" max="4" width="8.7109375" customWidth="1"/>
    <col min="5" max="5" width="8.140625" bestFit="1" customWidth="1"/>
    <col min="6" max="6" width="9.5703125" bestFit="1" customWidth="1"/>
    <col min="7" max="7" width="12" bestFit="1" customWidth="1"/>
    <col min="8" max="8" width="8.7109375" customWidth="1"/>
    <col min="9" max="9" width="8.140625" bestFit="1" customWidth="1"/>
    <col min="10" max="10" width="9.5703125" bestFit="1" customWidth="1"/>
    <col min="11" max="11" width="12" bestFit="1" customWidth="1"/>
  </cols>
  <sheetData>
    <row r="2" spans="1:11" ht="15" customHeight="1" thickBot="1" x14ac:dyDescent="0.3"/>
    <row r="3" spans="1:11" ht="15.75" thickBot="1" x14ac:dyDescent="0.3">
      <c r="A3" s="119" t="s">
        <v>172</v>
      </c>
      <c r="B3" s="120"/>
      <c r="C3" s="121"/>
      <c r="E3" s="119" t="s">
        <v>173</v>
      </c>
      <c r="F3" s="120"/>
      <c r="G3" s="121"/>
      <c r="I3" s="119" t="s">
        <v>174</v>
      </c>
      <c r="J3" s="120"/>
      <c r="K3" s="121"/>
    </row>
    <row r="4" spans="1:11" x14ac:dyDescent="0.25">
      <c r="A4" s="31" t="s">
        <v>175</v>
      </c>
      <c r="B4" s="32" t="s">
        <v>176</v>
      </c>
      <c r="C4" s="33" t="s">
        <v>177</v>
      </c>
      <c r="D4" s="34"/>
      <c r="E4" s="35" t="s">
        <v>175</v>
      </c>
      <c r="F4" s="36" t="s">
        <v>176</v>
      </c>
      <c r="G4" s="37" t="s">
        <v>177</v>
      </c>
      <c r="H4" s="34"/>
      <c r="I4" s="35" t="s">
        <v>175</v>
      </c>
      <c r="J4" s="36" t="s">
        <v>176</v>
      </c>
      <c r="K4" s="37" t="s">
        <v>178</v>
      </c>
    </row>
    <row r="5" spans="1:11" x14ac:dyDescent="0.25">
      <c r="A5" s="38">
        <v>10</v>
      </c>
      <c r="B5" s="39" t="s">
        <v>0</v>
      </c>
      <c r="C5" s="40" t="s">
        <v>1</v>
      </c>
      <c r="D5" s="34"/>
      <c r="E5" s="41">
        <v>10</v>
      </c>
      <c r="F5" s="42" t="s">
        <v>0</v>
      </c>
      <c r="G5" s="43" t="s">
        <v>2</v>
      </c>
      <c r="H5" s="34"/>
      <c r="I5" s="41">
        <v>10</v>
      </c>
      <c r="J5" s="44" t="s">
        <v>3</v>
      </c>
      <c r="K5" s="43" t="s">
        <v>4</v>
      </c>
    </row>
    <row r="6" spans="1:11" x14ac:dyDescent="0.25">
      <c r="A6" s="38">
        <v>20</v>
      </c>
      <c r="B6" s="39" t="s">
        <v>5</v>
      </c>
      <c r="C6" s="40" t="s">
        <v>6</v>
      </c>
      <c r="D6" s="34"/>
      <c r="E6" s="41">
        <v>20</v>
      </c>
      <c r="F6" s="42" t="s">
        <v>5</v>
      </c>
      <c r="G6" s="43" t="s">
        <v>7</v>
      </c>
      <c r="H6" s="34"/>
      <c r="I6" s="41">
        <v>40</v>
      </c>
      <c r="J6" s="44" t="s">
        <v>8</v>
      </c>
      <c r="K6" s="43" t="s">
        <v>9</v>
      </c>
    </row>
    <row r="7" spans="1:11" x14ac:dyDescent="0.25">
      <c r="A7" s="38">
        <v>30</v>
      </c>
      <c r="B7" s="39" t="s">
        <v>10</v>
      </c>
      <c r="C7" s="40" t="s">
        <v>11</v>
      </c>
      <c r="D7" s="34"/>
      <c r="E7" s="41">
        <v>40</v>
      </c>
      <c r="F7" s="44" t="s">
        <v>8</v>
      </c>
      <c r="G7" s="45" t="s">
        <v>108</v>
      </c>
      <c r="H7" s="34"/>
      <c r="I7" s="41">
        <v>90</v>
      </c>
      <c r="J7" s="42" t="s">
        <v>19</v>
      </c>
      <c r="K7" s="45" t="s">
        <v>20</v>
      </c>
    </row>
    <row r="8" spans="1:11" x14ac:dyDescent="0.25">
      <c r="A8" s="38">
        <v>40</v>
      </c>
      <c r="B8" s="39" t="s">
        <v>8</v>
      </c>
      <c r="C8" s="40" t="s">
        <v>14</v>
      </c>
      <c r="D8" s="34"/>
      <c r="E8" s="46">
        <v>90</v>
      </c>
      <c r="F8" s="47" t="s">
        <v>17</v>
      </c>
      <c r="G8" s="48" t="s">
        <v>18</v>
      </c>
      <c r="H8" s="34"/>
      <c r="I8" s="49">
        <v>101</v>
      </c>
      <c r="J8" s="42" t="s">
        <v>12</v>
      </c>
      <c r="K8" s="45" t="s">
        <v>13</v>
      </c>
    </row>
    <row r="9" spans="1:11" x14ac:dyDescent="0.25">
      <c r="A9" s="38">
        <v>50</v>
      </c>
      <c r="B9" s="39" t="s">
        <v>3</v>
      </c>
      <c r="C9" s="40" t="s">
        <v>15</v>
      </c>
      <c r="D9" s="34"/>
      <c r="E9" s="41">
        <v>101</v>
      </c>
      <c r="F9" s="44" t="s">
        <v>12</v>
      </c>
      <c r="G9" s="43" t="s">
        <v>13</v>
      </c>
      <c r="H9" s="34"/>
      <c r="I9" s="41"/>
      <c r="J9" s="44"/>
      <c r="K9" s="43"/>
    </row>
    <row r="10" spans="1:11" x14ac:dyDescent="0.25">
      <c r="A10" s="50">
        <v>90</v>
      </c>
      <c r="B10" s="51" t="s">
        <v>16</v>
      </c>
      <c r="C10" s="40" t="s">
        <v>171</v>
      </c>
      <c r="D10" s="34"/>
      <c r="E10" s="41"/>
      <c r="F10" s="44"/>
      <c r="G10" s="43"/>
      <c r="H10" s="34"/>
      <c r="I10" s="41"/>
      <c r="J10" s="44"/>
      <c r="K10" s="43"/>
    </row>
    <row r="11" spans="1:11" x14ac:dyDescent="0.25">
      <c r="A11" s="38">
        <v>101</v>
      </c>
      <c r="B11" s="39" t="s">
        <v>12</v>
      </c>
      <c r="C11" s="40" t="s">
        <v>13</v>
      </c>
      <c r="D11" s="34"/>
      <c r="E11" s="41"/>
      <c r="F11" s="44"/>
      <c r="G11" s="43"/>
      <c r="H11" s="34"/>
      <c r="I11" s="41"/>
      <c r="J11" s="44"/>
      <c r="K11" s="43"/>
    </row>
    <row r="12" spans="1:11" x14ac:dyDescent="0.25">
      <c r="A12" s="38"/>
      <c r="B12" s="39"/>
      <c r="C12" s="40"/>
      <c r="D12" s="34"/>
      <c r="E12" s="41"/>
      <c r="F12" s="44"/>
      <c r="G12" s="43"/>
      <c r="H12" s="34"/>
      <c r="I12" s="41"/>
      <c r="J12" s="44"/>
      <c r="K12" s="43"/>
    </row>
    <row r="13" spans="1:11" ht="15.75" thickBot="1" x14ac:dyDescent="0.3">
      <c r="A13" s="52"/>
      <c r="B13" s="53"/>
      <c r="C13" s="54"/>
      <c r="D13" s="34"/>
      <c r="E13" s="55"/>
      <c r="F13" s="56"/>
      <c r="G13" s="57"/>
      <c r="H13" s="34"/>
      <c r="I13" s="55"/>
      <c r="J13" s="56"/>
      <c r="K13" s="5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3">
    <mergeCell ref="A3:C3"/>
    <mergeCell ref="E3:G3"/>
    <mergeCell ref="I3:K3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tabSelected="1" topLeftCell="F2" zoomScaleNormal="100" workbookViewId="0">
      <selection activeCell="I24" sqref="I24"/>
    </sheetView>
  </sheetViews>
  <sheetFormatPr defaultRowHeight="15" x14ac:dyDescent="0.25"/>
  <cols>
    <col min="1" max="1" width="12.85546875" bestFit="1" customWidth="1"/>
    <col min="2" max="2" width="9.85546875" bestFit="1" customWidth="1"/>
    <col min="3" max="3" width="10.5703125" bestFit="1" customWidth="1"/>
    <col min="4" max="4" width="17.85546875" bestFit="1" customWidth="1"/>
    <col min="6" max="6" width="12.85546875" bestFit="1" customWidth="1"/>
    <col min="7" max="7" width="9.85546875" bestFit="1" customWidth="1"/>
    <col min="8" max="8" width="10.5703125" bestFit="1" customWidth="1"/>
    <col min="9" max="9" width="17.85546875" bestFit="1" customWidth="1"/>
    <col min="11" max="11" width="13.7109375" bestFit="1" customWidth="1"/>
    <col min="12" max="12" width="9.85546875" bestFit="1" customWidth="1"/>
    <col min="13" max="13" width="10.5703125" bestFit="1" customWidth="1"/>
    <col min="14" max="14" width="28.7109375" bestFit="1" customWidth="1"/>
  </cols>
  <sheetData>
    <row r="1" spans="1:14" ht="15.75" thickBot="1" x14ac:dyDescent="0.3">
      <c r="A1" s="127" t="s">
        <v>21</v>
      </c>
      <c r="B1" s="128"/>
      <c r="C1" s="128"/>
      <c r="D1" s="129"/>
      <c r="F1" s="124" t="s">
        <v>23</v>
      </c>
      <c r="G1" s="125"/>
      <c r="H1" s="125"/>
      <c r="I1" s="126"/>
      <c r="K1" s="124" t="s">
        <v>24</v>
      </c>
      <c r="L1" s="125"/>
      <c r="M1" s="125"/>
      <c r="N1" s="126"/>
    </row>
    <row r="2" spans="1:14" x14ac:dyDescent="0.25">
      <c r="A2" s="58" t="s">
        <v>22</v>
      </c>
      <c r="B2" s="59" t="s">
        <v>52</v>
      </c>
      <c r="C2" s="70" t="s">
        <v>180</v>
      </c>
      <c r="D2" s="60" t="s">
        <v>54</v>
      </c>
      <c r="F2" s="71" t="s">
        <v>22</v>
      </c>
      <c r="G2" s="72" t="s">
        <v>52</v>
      </c>
      <c r="H2" s="73" t="s">
        <v>180</v>
      </c>
      <c r="I2" s="74" t="s">
        <v>54</v>
      </c>
      <c r="K2" s="71" t="s">
        <v>22</v>
      </c>
      <c r="L2" s="72" t="s">
        <v>52</v>
      </c>
      <c r="M2" s="73" t="s">
        <v>180</v>
      </c>
      <c r="N2" s="74" t="s">
        <v>54</v>
      </c>
    </row>
    <row r="3" spans="1:14" x14ac:dyDescent="0.25">
      <c r="A3" s="130" t="s">
        <v>26</v>
      </c>
      <c r="B3" s="2" t="s">
        <v>27</v>
      </c>
      <c r="C3" s="2"/>
      <c r="D3" s="64" t="s">
        <v>129</v>
      </c>
      <c r="F3" s="130" t="s">
        <v>73</v>
      </c>
      <c r="G3" s="2" t="s">
        <v>27</v>
      </c>
      <c r="H3" s="2"/>
      <c r="I3" s="64" t="s">
        <v>129</v>
      </c>
      <c r="K3" s="131" t="s">
        <v>97</v>
      </c>
      <c r="L3" s="76" t="s">
        <v>27</v>
      </c>
      <c r="M3" s="76"/>
      <c r="N3" s="79" t="s">
        <v>129</v>
      </c>
    </row>
    <row r="4" spans="1:14" x14ac:dyDescent="0.25">
      <c r="A4" s="130"/>
      <c r="B4" s="4" t="s">
        <v>28</v>
      </c>
      <c r="C4" s="4">
        <v>10</v>
      </c>
      <c r="D4" s="65" t="s">
        <v>34</v>
      </c>
      <c r="F4" s="130"/>
      <c r="G4" s="4" t="s">
        <v>28</v>
      </c>
      <c r="H4" s="4">
        <v>10</v>
      </c>
      <c r="I4" s="65" t="s">
        <v>74</v>
      </c>
      <c r="K4" s="132"/>
      <c r="L4" s="84" t="s">
        <v>111</v>
      </c>
      <c r="M4" s="84">
        <v>10</v>
      </c>
      <c r="N4" s="64" t="s">
        <v>112</v>
      </c>
    </row>
    <row r="5" spans="1:14" x14ac:dyDescent="0.25">
      <c r="A5" s="130"/>
      <c r="B5" s="2" t="s">
        <v>29</v>
      </c>
      <c r="C5" s="2">
        <v>20</v>
      </c>
      <c r="D5" s="66" t="s">
        <v>35</v>
      </c>
      <c r="F5" s="130"/>
      <c r="G5" s="2" t="s">
        <v>29</v>
      </c>
      <c r="H5" s="2">
        <v>20</v>
      </c>
      <c r="I5" s="66" t="s">
        <v>75</v>
      </c>
      <c r="K5" s="132"/>
      <c r="L5" s="76" t="s">
        <v>109</v>
      </c>
      <c r="M5" s="5">
        <v>20</v>
      </c>
      <c r="N5" s="79" t="s">
        <v>184</v>
      </c>
    </row>
    <row r="6" spans="1:14" x14ac:dyDescent="0.25">
      <c r="A6" s="130"/>
      <c r="B6" s="5" t="s">
        <v>30</v>
      </c>
      <c r="C6" s="5">
        <v>30</v>
      </c>
      <c r="D6" s="62" t="s">
        <v>36</v>
      </c>
      <c r="E6" s="1"/>
      <c r="F6" s="130"/>
      <c r="G6" s="5" t="s">
        <v>30</v>
      </c>
      <c r="H6" s="5">
        <v>30</v>
      </c>
      <c r="I6" s="62" t="s">
        <v>76</v>
      </c>
      <c r="K6" s="133"/>
      <c r="L6" s="84" t="s">
        <v>110</v>
      </c>
      <c r="M6" s="2">
        <v>40</v>
      </c>
      <c r="N6" s="64" t="s">
        <v>113</v>
      </c>
    </row>
    <row r="7" spans="1:14" x14ac:dyDescent="0.25">
      <c r="A7" s="130"/>
      <c r="B7" s="2" t="s">
        <v>31</v>
      </c>
      <c r="C7" s="2">
        <v>40</v>
      </c>
      <c r="D7" s="66" t="s">
        <v>37</v>
      </c>
      <c r="F7" s="130"/>
      <c r="G7" s="2" t="s">
        <v>31</v>
      </c>
      <c r="H7" s="2">
        <v>40</v>
      </c>
      <c r="I7" s="66" t="s">
        <v>77</v>
      </c>
      <c r="K7" s="134" t="s">
        <v>96</v>
      </c>
      <c r="L7" s="76" t="s">
        <v>51</v>
      </c>
      <c r="M7" s="76" t="s">
        <v>55</v>
      </c>
      <c r="N7" s="79" t="s">
        <v>97</v>
      </c>
    </row>
    <row r="8" spans="1:14" x14ac:dyDescent="0.25">
      <c r="A8" s="130"/>
      <c r="B8" s="5" t="s">
        <v>32</v>
      </c>
      <c r="C8" s="5">
        <v>50</v>
      </c>
      <c r="D8" s="62" t="s">
        <v>38</v>
      </c>
      <c r="F8" s="130"/>
      <c r="G8" s="5" t="s">
        <v>32</v>
      </c>
      <c r="H8" s="5">
        <v>50</v>
      </c>
      <c r="I8" s="62" t="s">
        <v>61</v>
      </c>
      <c r="K8" s="135"/>
      <c r="L8" s="85" t="s">
        <v>63</v>
      </c>
      <c r="M8" s="34">
        <v>10</v>
      </c>
      <c r="N8" s="86" t="s">
        <v>185</v>
      </c>
    </row>
    <row r="9" spans="1:14" x14ac:dyDescent="0.25">
      <c r="A9" s="130"/>
      <c r="B9" s="2" t="s">
        <v>33</v>
      </c>
      <c r="C9" s="2">
        <v>60</v>
      </c>
      <c r="D9" s="66" t="s">
        <v>39</v>
      </c>
      <c r="F9" s="130"/>
      <c r="G9" s="2" t="s">
        <v>33</v>
      </c>
      <c r="H9" s="2">
        <v>60</v>
      </c>
      <c r="I9" s="66" t="s">
        <v>78</v>
      </c>
      <c r="K9" s="135"/>
      <c r="L9" s="80" t="s">
        <v>41</v>
      </c>
      <c r="M9" s="80">
        <v>20</v>
      </c>
      <c r="N9" s="137" t="s">
        <v>114</v>
      </c>
    </row>
    <row r="10" spans="1:14" x14ac:dyDescent="0.25">
      <c r="A10" s="130" t="s">
        <v>40</v>
      </c>
      <c r="B10" s="5" t="s">
        <v>41</v>
      </c>
      <c r="C10" s="5">
        <v>20</v>
      </c>
      <c r="D10" s="62" t="s">
        <v>56</v>
      </c>
      <c r="F10" s="130" t="s">
        <v>53</v>
      </c>
      <c r="G10" s="5" t="s">
        <v>41</v>
      </c>
      <c r="H10" s="5" t="s">
        <v>55</v>
      </c>
      <c r="I10" s="62" t="s">
        <v>82</v>
      </c>
      <c r="K10" s="135"/>
      <c r="L10" s="76" t="s">
        <v>42</v>
      </c>
      <c r="M10" s="76">
        <v>20</v>
      </c>
      <c r="N10" s="138"/>
    </row>
    <row r="11" spans="1:14" x14ac:dyDescent="0.25">
      <c r="A11" s="130"/>
      <c r="B11" s="3" t="s">
        <v>42</v>
      </c>
      <c r="C11" s="3">
        <v>20</v>
      </c>
      <c r="D11" s="66" t="s">
        <v>56</v>
      </c>
      <c r="F11" s="130"/>
      <c r="G11" s="3" t="s">
        <v>42</v>
      </c>
      <c r="H11" s="3" t="s">
        <v>55</v>
      </c>
      <c r="I11" s="61" t="s">
        <v>82</v>
      </c>
      <c r="K11" s="135"/>
      <c r="L11" s="80" t="s">
        <v>43</v>
      </c>
      <c r="M11" s="80">
        <v>20</v>
      </c>
      <c r="N11" s="138"/>
    </row>
    <row r="12" spans="1:14" x14ac:dyDescent="0.25">
      <c r="A12" s="130"/>
      <c r="B12" s="5" t="s">
        <v>43</v>
      </c>
      <c r="C12" s="5" t="s">
        <v>55</v>
      </c>
      <c r="D12" s="62" t="s">
        <v>53</v>
      </c>
      <c r="F12" s="130"/>
      <c r="G12" s="5" t="s">
        <v>43</v>
      </c>
      <c r="H12" s="5">
        <v>20</v>
      </c>
      <c r="I12" s="62" t="s">
        <v>149</v>
      </c>
      <c r="K12" s="135"/>
      <c r="L12" s="76" t="s">
        <v>44</v>
      </c>
      <c r="M12" s="76">
        <v>20</v>
      </c>
      <c r="N12" s="138"/>
    </row>
    <row r="13" spans="1:14" x14ac:dyDescent="0.25">
      <c r="A13" s="130"/>
      <c r="B13" s="3" t="s">
        <v>44</v>
      </c>
      <c r="C13" s="3" t="s">
        <v>55</v>
      </c>
      <c r="D13" s="66" t="s">
        <v>53</v>
      </c>
      <c r="F13" s="130"/>
      <c r="G13" s="3" t="s">
        <v>44</v>
      </c>
      <c r="H13" s="2">
        <v>20</v>
      </c>
      <c r="I13" s="78" t="s">
        <v>149</v>
      </c>
      <c r="K13" s="135"/>
      <c r="L13" s="80" t="s">
        <v>45</v>
      </c>
      <c r="M13" s="80">
        <v>20</v>
      </c>
      <c r="N13" s="138"/>
    </row>
    <row r="14" spans="1:14" x14ac:dyDescent="0.25">
      <c r="A14" s="130"/>
      <c r="B14" s="5" t="s">
        <v>45</v>
      </c>
      <c r="C14" s="5">
        <v>20</v>
      </c>
      <c r="D14" s="62" t="s">
        <v>56</v>
      </c>
      <c r="F14" s="130"/>
      <c r="G14" s="5" t="s">
        <v>45</v>
      </c>
      <c r="H14" s="5">
        <v>20</v>
      </c>
      <c r="I14" s="62" t="s">
        <v>149</v>
      </c>
      <c r="K14" s="135"/>
      <c r="L14" s="76" t="s">
        <v>46</v>
      </c>
      <c r="M14" s="76">
        <v>20</v>
      </c>
      <c r="N14" s="138"/>
    </row>
    <row r="15" spans="1:14" x14ac:dyDescent="0.25">
      <c r="A15" s="130"/>
      <c r="B15" s="3" t="s">
        <v>46</v>
      </c>
      <c r="C15" s="3">
        <v>20</v>
      </c>
      <c r="D15" s="66" t="s">
        <v>56</v>
      </c>
      <c r="F15" s="130"/>
      <c r="G15" s="75" t="s">
        <v>46</v>
      </c>
      <c r="H15" s="75">
        <v>20</v>
      </c>
      <c r="I15" s="78" t="s">
        <v>149</v>
      </c>
      <c r="K15" s="135"/>
      <c r="L15" s="80" t="s">
        <v>47</v>
      </c>
      <c r="M15" s="80">
        <v>20</v>
      </c>
      <c r="N15" s="138"/>
    </row>
    <row r="16" spans="1:14" x14ac:dyDescent="0.25">
      <c r="A16" s="130"/>
      <c r="B16" s="5" t="s">
        <v>47</v>
      </c>
      <c r="C16" s="5">
        <v>40</v>
      </c>
      <c r="D16" s="62" t="s">
        <v>57</v>
      </c>
      <c r="F16" s="130"/>
      <c r="G16" s="76" t="s">
        <v>47</v>
      </c>
      <c r="H16" s="76" t="s">
        <v>55</v>
      </c>
      <c r="I16" s="79" t="s">
        <v>73</v>
      </c>
      <c r="K16" s="135"/>
      <c r="L16" s="76" t="s">
        <v>107</v>
      </c>
      <c r="M16" s="76">
        <v>20</v>
      </c>
      <c r="N16" s="138"/>
    </row>
    <row r="17" spans="1:14" x14ac:dyDescent="0.25">
      <c r="A17" s="130"/>
      <c r="B17" s="3" t="s">
        <v>48</v>
      </c>
      <c r="C17" s="3">
        <v>50</v>
      </c>
      <c r="D17" s="66" t="s">
        <v>58</v>
      </c>
      <c r="F17" s="130"/>
      <c r="G17" s="75" t="s">
        <v>51</v>
      </c>
      <c r="H17" s="75">
        <v>10</v>
      </c>
      <c r="I17" s="78" t="s">
        <v>82</v>
      </c>
      <c r="K17" s="136"/>
      <c r="L17" s="80" t="s">
        <v>48</v>
      </c>
      <c r="M17" s="80">
        <v>20</v>
      </c>
      <c r="N17" s="139"/>
    </row>
    <row r="18" spans="1:14" x14ac:dyDescent="0.25">
      <c r="A18" s="130"/>
      <c r="B18" s="5" t="s">
        <v>49</v>
      </c>
      <c r="C18" s="5">
        <v>20</v>
      </c>
      <c r="D18" s="62" t="s">
        <v>56</v>
      </c>
      <c r="F18" s="68" t="s">
        <v>83</v>
      </c>
      <c r="G18" s="5" t="s">
        <v>84</v>
      </c>
      <c r="H18" s="5">
        <v>10</v>
      </c>
      <c r="I18" s="62" t="s">
        <v>81</v>
      </c>
      <c r="K18" s="68" t="s">
        <v>98</v>
      </c>
      <c r="L18" s="76" t="s">
        <v>66</v>
      </c>
      <c r="M18" s="5">
        <v>20</v>
      </c>
      <c r="N18" s="79" t="s">
        <v>170</v>
      </c>
    </row>
    <row r="19" spans="1:14" x14ac:dyDescent="0.25">
      <c r="A19" s="130"/>
      <c r="B19" s="3" t="s">
        <v>50</v>
      </c>
      <c r="C19" s="3">
        <v>30</v>
      </c>
      <c r="D19" s="66" t="s">
        <v>59</v>
      </c>
      <c r="F19" s="77" t="s">
        <v>85</v>
      </c>
      <c r="G19" s="80" t="s">
        <v>66</v>
      </c>
      <c r="H19" s="75">
        <v>20</v>
      </c>
      <c r="I19" s="81" t="s">
        <v>72</v>
      </c>
      <c r="K19" s="77" t="s">
        <v>99</v>
      </c>
      <c r="L19" s="80" t="s">
        <v>66</v>
      </c>
      <c r="M19" s="75">
        <v>20</v>
      </c>
      <c r="N19" s="78" t="s">
        <v>183</v>
      </c>
    </row>
    <row r="20" spans="1:14" x14ac:dyDescent="0.25">
      <c r="A20" s="130"/>
      <c r="B20" s="5" t="s">
        <v>63</v>
      </c>
      <c r="C20" s="5">
        <v>50</v>
      </c>
      <c r="D20" s="62" t="s">
        <v>58</v>
      </c>
      <c r="F20" s="68" t="s">
        <v>87</v>
      </c>
      <c r="G20" s="76" t="s">
        <v>66</v>
      </c>
      <c r="H20" s="5">
        <v>20</v>
      </c>
      <c r="I20" s="79" t="s">
        <v>72</v>
      </c>
      <c r="K20" s="68" t="s">
        <v>100</v>
      </c>
      <c r="L20" s="76" t="s">
        <v>66</v>
      </c>
      <c r="M20" s="5">
        <v>20</v>
      </c>
      <c r="N20" s="62" t="s">
        <v>183</v>
      </c>
    </row>
    <row r="21" spans="1:14" x14ac:dyDescent="0.25">
      <c r="A21" s="130"/>
      <c r="B21" s="3" t="s">
        <v>51</v>
      </c>
      <c r="C21" s="3" t="s">
        <v>55</v>
      </c>
      <c r="D21" s="66" t="s">
        <v>26</v>
      </c>
      <c r="F21" s="77" t="s">
        <v>88</v>
      </c>
      <c r="G21" s="80" t="s">
        <v>66</v>
      </c>
      <c r="H21" s="75">
        <v>20</v>
      </c>
      <c r="I21" s="81" t="s">
        <v>72</v>
      </c>
      <c r="K21" s="77" t="s">
        <v>101</v>
      </c>
      <c r="L21" s="75" t="s">
        <v>66</v>
      </c>
      <c r="M21" s="75">
        <v>20</v>
      </c>
      <c r="N21" s="78" t="s">
        <v>183</v>
      </c>
    </row>
    <row r="22" spans="1:14" ht="15.75" thickBot="1" x14ac:dyDescent="0.3">
      <c r="A22" s="67" t="s">
        <v>94</v>
      </c>
      <c r="B22" s="5" t="s">
        <v>60</v>
      </c>
      <c r="C22" s="5">
        <v>50</v>
      </c>
      <c r="D22" s="62" t="s">
        <v>64</v>
      </c>
      <c r="F22" s="69" t="s">
        <v>89</v>
      </c>
      <c r="G22" s="82" t="s">
        <v>66</v>
      </c>
      <c r="H22" s="6">
        <v>30</v>
      </c>
      <c r="I22" s="83" t="s">
        <v>72</v>
      </c>
      <c r="K22" s="68" t="s">
        <v>102</v>
      </c>
      <c r="L22" s="76" t="s">
        <v>66</v>
      </c>
      <c r="M22" s="5">
        <v>20</v>
      </c>
      <c r="N22" s="62" t="s">
        <v>183</v>
      </c>
    </row>
    <row r="23" spans="1:14" x14ac:dyDescent="0.25">
      <c r="A23" s="29" t="s">
        <v>62</v>
      </c>
      <c r="B23" s="3" t="s">
        <v>60</v>
      </c>
      <c r="C23" s="3">
        <v>50</v>
      </c>
      <c r="D23" s="61" t="s">
        <v>79</v>
      </c>
      <c r="K23" s="77" t="s">
        <v>103</v>
      </c>
      <c r="L23" s="75" t="s">
        <v>66</v>
      </c>
      <c r="M23" s="75">
        <v>20</v>
      </c>
      <c r="N23" s="78" t="s">
        <v>183</v>
      </c>
    </row>
    <row r="24" spans="1:14" x14ac:dyDescent="0.25">
      <c r="A24" s="68" t="s">
        <v>65</v>
      </c>
      <c r="B24" s="5" t="s">
        <v>66</v>
      </c>
      <c r="C24" s="5">
        <v>40</v>
      </c>
      <c r="D24" s="62" t="s">
        <v>80</v>
      </c>
      <c r="K24" s="68" t="s">
        <v>104</v>
      </c>
      <c r="L24" s="76" t="s">
        <v>66</v>
      </c>
      <c r="M24" s="5">
        <v>20</v>
      </c>
      <c r="N24" s="62" t="s">
        <v>183</v>
      </c>
    </row>
    <row r="25" spans="1:14" x14ac:dyDescent="0.25">
      <c r="A25" s="29" t="s">
        <v>67</v>
      </c>
      <c r="B25" s="2" t="s">
        <v>66</v>
      </c>
      <c r="C25" s="3">
        <v>20</v>
      </c>
      <c r="D25" s="61" t="s">
        <v>72</v>
      </c>
      <c r="K25" s="77" t="s">
        <v>105</v>
      </c>
      <c r="L25" s="80" t="s">
        <v>66</v>
      </c>
      <c r="M25" s="75">
        <v>20</v>
      </c>
      <c r="N25" s="78" t="s">
        <v>183</v>
      </c>
    </row>
    <row r="26" spans="1:14" ht="15.75" thickBot="1" x14ac:dyDescent="0.3">
      <c r="A26" s="68" t="s">
        <v>68</v>
      </c>
      <c r="B26" s="5" t="s">
        <v>66</v>
      </c>
      <c r="C26" s="5">
        <v>20</v>
      </c>
      <c r="D26" s="62" t="s">
        <v>72</v>
      </c>
      <c r="K26" s="69" t="s">
        <v>106</v>
      </c>
      <c r="L26" s="82" t="s">
        <v>66</v>
      </c>
      <c r="M26" s="6">
        <v>20</v>
      </c>
      <c r="N26" s="63" t="s">
        <v>183</v>
      </c>
    </row>
    <row r="27" spans="1:14" ht="15.75" thickBot="1" x14ac:dyDescent="0.3">
      <c r="A27" s="29" t="s">
        <v>69</v>
      </c>
      <c r="B27" s="2" t="s">
        <v>66</v>
      </c>
      <c r="C27" s="3">
        <v>20</v>
      </c>
      <c r="D27" s="61" t="s">
        <v>72</v>
      </c>
      <c r="F27" s="127" t="s">
        <v>25</v>
      </c>
      <c r="G27" s="128"/>
      <c r="H27" s="128"/>
      <c r="I27" s="129"/>
      <c r="K27" t="s">
        <v>185</v>
      </c>
      <c r="L27" s="145" t="s">
        <v>66</v>
      </c>
      <c r="M27" s="146">
        <v>10</v>
      </c>
      <c r="N27" s="86" t="s">
        <v>146</v>
      </c>
    </row>
    <row r="28" spans="1:14" x14ac:dyDescent="0.25">
      <c r="A28" s="68" t="s">
        <v>70</v>
      </c>
      <c r="B28" s="5" t="s">
        <v>66</v>
      </c>
      <c r="C28" s="5">
        <v>20</v>
      </c>
      <c r="D28" s="62" t="s">
        <v>72</v>
      </c>
      <c r="F28" s="87" t="s">
        <v>22</v>
      </c>
      <c r="G28" s="88" t="s">
        <v>52</v>
      </c>
      <c r="H28" s="89" t="s">
        <v>180</v>
      </c>
      <c r="I28" s="90" t="s">
        <v>54</v>
      </c>
    </row>
    <row r="29" spans="1:14" x14ac:dyDescent="0.25">
      <c r="A29" s="29" t="s">
        <v>71</v>
      </c>
      <c r="B29" s="2" t="s">
        <v>66</v>
      </c>
      <c r="C29" s="3">
        <v>30</v>
      </c>
      <c r="D29" s="61" t="s">
        <v>72</v>
      </c>
      <c r="F29" s="91" t="s">
        <v>91</v>
      </c>
      <c r="G29" s="84" t="s">
        <v>92</v>
      </c>
      <c r="H29" s="84" t="s">
        <v>55</v>
      </c>
      <c r="I29" s="64" t="s">
        <v>90</v>
      </c>
    </row>
    <row r="30" spans="1:14" ht="15.75" thickBot="1" x14ac:dyDescent="0.3">
      <c r="A30" s="69" t="s">
        <v>86</v>
      </c>
      <c r="B30" s="6" t="s">
        <v>66</v>
      </c>
      <c r="C30" s="6">
        <v>20</v>
      </c>
      <c r="D30" s="63" t="s">
        <v>72</v>
      </c>
      <c r="F30" s="92" t="s">
        <v>93</v>
      </c>
      <c r="G30" s="82" t="s">
        <v>92</v>
      </c>
      <c r="H30" s="82" t="s">
        <v>55</v>
      </c>
      <c r="I30" s="83" t="s">
        <v>95</v>
      </c>
    </row>
    <row r="32" spans="1:14" ht="15.75" thickBot="1" x14ac:dyDescent="0.3"/>
    <row r="33" spans="1:2" x14ac:dyDescent="0.25">
      <c r="A33" s="93"/>
      <c r="B33" s="94" t="s">
        <v>179</v>
      </c>
    </row>
    <row r="34" spans="1:2" x14ac:dyDescent="0.25">
      <c r="A34" s="29" t="s">
        <v>26</v>
      </c>
      <c r="B34" s="122" t="s">
        <v>147</v>
      </c>
    </row>
    <row r="35" spans="1:2" ht="15.75" thickBot="1" x14ac:dyDescent="0.3">
      <c r="A35" s="95" t="s">
        <v>73</v>
      </c>
      <c r="B35" s="123"/>
    </row>
  </sheetData>
  <mergeCells count="12">
    <mergeCell ref="B34:B35"/>
    <mergeCell ref="K1:N1"/>
    <mergeCell ref="F1:I1"/>
    <mergeCell ref="F27:I27"/>
    <mergeCell ref="A1:D1"/>
    <mergeCell ref="A3:A9"/>
    <mergeCell ref="A10:A21"/>
    <mergeCell ref="F3:F9"/>
    <mergeCell ref="F10:F17"/>
    <mergeCell ref="K3:K6"/>
    <mergeCell ref="K7:K17"/>
    <mergeCell ref="N9:N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zoomScaleNormal="100" workbookViewId="0">
      <selection activeCell="A20" sqref="A20"/>
    </sheetView>
  </sheetViews>
  <sheetFormatPr defaultRowHeight="15" x14ac:dyDescent="0.25"/>
  <cols>
    <col min="1" max="1" width="16.28515625" bestFit="1" customWidth="1"/>
    <col min="2" max="2" width="24.7109375" bestFit="1" customWidth="1"/>
    <col min="3" max="3" width="16.5703125" bestFit="1" customWidth="1"/>
  </cols>
  <sheetData>
    <row r="1" spans="1:5" ht="15.75" thickBot="1" x14ac:dyDescent="0.3">
      <c r="A1" s="116" t="s">
        <v>22</v>
      </c>
      <c r="B1" s="117" t="s">
        <v>181</v>
      </c>
      <c r="C1" s="117" t="s">
        <v>182</v>
      </c>
      <c r="D1" s="117" t="s">
        <v>148</v>
      </c>
      <c r="E1" s="118" t="s">
        <v>166</v>
      </c>
    </row>
    <row r="2" spans="1:5" x14ac:dyDescent="0.25">
      <c r="A2" s="96" t="s">
        <v>151</v>
      </c>
      <c r="B2" s="102" t="s">
        <v>141</v>
      </c>
      <c r="C2" s="102" t="s">
        <v>150</v>
      </c>
      <c r="D2" s="97">
        <v>100</v>
      </c>
      <c r="E2" s="98" t="s">
        <v>161</v>
      </c>
    </row>
    <row r="3" spans="1:5" x14ac:dyDescent="0.25">
      <c r="A3" s="143" t="s">
        <v>142</v>
      </c>
      <c r="B3" s="103" t="s">
        <v>141</v>
      </c>
      <c r="C3" s="103" t="s">
        <v>152</v>
      </c>
      <c r="D3" s="144">
        <v>200</v>
      </c>
      <c r="E3" s="140" t="s">
        <v>161</v>
      </c>
    </row>
    <row r="4" spans="1:5" x14ac:dyDescent="0.25">
      <c r="A4" s="143"/>
      <c r="B4" s="84" t="s">
        <v>143</v>
      </c>
      <c r="C4" s="84" t="s">
        <v>153</v>
      </c>
      <c r="D4" s="144"/>
      <c r="E4" s="140"/>
    </row>
    <row r="5" spans="1:5" x14ac:dyDescent="0.25">
      <c r="A5" s="143"/>
      <c r="B5" s="103" t="s">
        <v>144</v>
      </c>
      <c r="C5" s="103" t="s">
        <v>154</v>
      </c>
      <c r="D5" s="144"/>
      <c r="E5" s="140"/>
    </row>
    <row r="6" spans="1:5" x14ac:dyDescent="0.25">
      <c r="A6" s="30" t="s">
        <v>97</v>
      </c>
      <c r="B6" s="84" t="s">
        <v>141</v>
      </c>
      <c r="C6" s="84" t="s">
        <v>155</v>
      </c>
      <c r="D6" s="2">
        <v>300</v>
      </c>
      <c r="E6" s="66" t="s">
        <v>161</v>
      </c>
    </row>
    <row r="7" spans="1:5" x14ac:dyDescent="0.25">
      <c r="A7" s="143" t="s">
        <v>145</v>
      </c>
      <c r="B7" s="103" t="s">
        <v>141</v>
      </c>
      <c r="C7" s="103" t="s">
        <v>157</v>
      </c>
      <c r="D7" s="144">
        <v>400</v>
      </c>
      <c r="E7" s="140">
        <v>1</v>
      </c>
    </row>
    <row r="8" spans="1:5" x14ac:dyDescent="0.25">
      <c r="A8" s="143"/>
      <c r="B8" s="84" t="s">
        <v>143</v>
      </c>
      <c r="C8" s="84" t="s">
        <v>156</v>
      </c>
      <c r="D8" s="144"/>
      <c r="E8" s="140"/>
    </row>
    <row r="9" spans="1:5" x14ac:dyDescent="0.25">
      <c r="A9" s="143"/>
      <c r="B9" s="103" t="s">
        <v>144</v>
      </c>
      <c r="C9" s="103" t="s">
        <v>158</v>
      </c>
      <c r="D9" s="144"/>
      <c r="E9" s="140"/>
    </row>
    <row r="10" spans="1:5" x14ac:dyDescent="0.25">
      <c r="A10" s="30" t="s">
        <v>26</v>
      </c>
      <c r="B10" s="84" t="s">
        <v>141</v>
      </c>
      <c r="C10" s="84" t="s">
        <v>159</v>
      </c>
      <c r="D10" s="2" t="s">
        <v>161</v>
      </c>
      <c r="E10" s="66">
        <v>1</v>
      </c>
    </row>
    <row r="11" spans="1:5" ht="15.75" thickBot="1" x14ac:dyDescent="0.3">
      <c r="A11" s="99" t="s">
        <v>73</v>
      </c>
      <c r="B11" s="104" t="s">
        <v>141</v>
      </c>
      <c r="C11" s="104" t="s">
        <v>160</v>
      </c>
      <c r="D11" s="105" t="s">
        <v>161</v>
      </c>
      <c r="E11" s="106">
        <v>1</v>
      </c>
    </row>
    <row r="12" spans="1:5" ht="15.75" thickBot="1" x14ac:dyDescent="0.3"/>
    <row r="13" spans="1:5" x14ac:dyDescent="0.25">
      <c r="A13" s="96" t="s">
        <v>162</v>
      </c>
      <c r="B13" s="97" t="s">
        <v>167</v>
      </c>
      <c r="C13" s="98"/>
    </row>
    <row r="14" spans="1:5" x14ac:dyDescent="0.25">
      <c r="A14" s="30" t="s">
        <v>163</v>
      </c>
      <c r="B14" s="141" t="s">
        <v>168</v>
      </c>
      <c r="C14" s="142"/>
    </row>
    <row r="15" spans="1:5" x14ac:dyDescent="0.25">
      <c r="A15" s="30" t="s">
        <v>164</v>
      </c>
      <c r="B15" s="84" t="s">
        <v>169</v>
      </c>
      <c r="C15" s="66"/>
    </row>
    <row r="16" spans="1:5" ht="15.75" thickBot="1" x14ac:dyDescent="0.3">
      <c r="A16" s="99" t="s">
        <v>165</v>
      </c>
      <c r="B16" s="100"/>
      <c r="C16" s="101"/>
    </row>
  </sheetData>
  <mergeCells count="7">
    <mergeCell ref="E3:E5"/>
    <mergeCell ref="E7:E9"/>
    <mergeCell ref="B14:C14"/>
    <mergeCell ref="A3:A5"/>
    <mergeCell ref="A7:A9"/>
    <mergeCell ref="D3:D5"/>
    <mergeCell ref="D7:D9"/>
  </mergeCells>
  <pageMargins left="0.7" right="0.7" top="0.75" bottom="0.75" header="0.3" footer="0.3"/>
  <pageSetup paperSize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7"/>
  <sheetViews>
    <sheetView workbookViewId="0">
      <selection activeCell="K7" sqref="K7"/>
    </sheetView>
  </sheetViews>
  <sheetFormatPr defaultRowHeight="15" x14ac:dyDescent="0.25"/>
  <cols>
    <col min="1" max="1" width="66.140625" bestFit="1" customWidth="1"/>
    <col min="2" max="2" width="11.42578125" bestFit="1" customWidth="1"/>
    <col min="3" max="3" width="12.140625" bestFit="1" customWidth="1"/>
    <col min="4" max="5" width="16.140625" bestFit="1" customWidth="1"/>
    <col min="6" max="6" width="11.140625" bestFit="1" customWidth="1"/>
  </cols>
  <sheetData>
    <row r="1" spans="1:6" ht="15.75" thickBot="1" x14ac:dyDescent="0.3">
      <c r="A1" s="107" t="s">
        <v>22</v>
      </c>
      <c r="B1" s="108" t="s">
        <v>115</v>
      </c>
      <c r="C1" s="109" t="s">
        <v>116</v>
      </c>
      <c r="D1" s="109" t="s">
        <v>119</v>
      </c>
      <c r="E1" s="109" t="s">
        <v>117</v>
      </c>
      <c r="F1" s="110" t="s">
        <v>118</v>
      </c>
    </row>
    <row r="2" spans="1:6" x14ac:dyDescent="0.25">
      <c r="A2" s="12" t="s">
        <v>122</v>
      </c>
      <c r="B2" s="13" t="s">
        <v>121</v>
      </c>
      <c r="C2" s="14">
        <v>3</v>
      </c>
      <c r="D2" s="25">
        <v>384000</v>
      </c>
      <c r="E2" s="25">
        <f>C2*D2</f>
        <v>1152000</v>
      </c>
      <c r="F2" s="20" t="s">
        <v>123</v>
      </c>
    </row>
    <row r="3" spans="1:6" x14ac:dyDescent="0.25">
      <c r="A3" s="15" t="s">
        <v>125</v>
      </c>
      <c r="B3" s="16" t="s">
        <v>124</v>
      </c>
      <c r="C3" s="17">
        <v>3</v>
      </c>
      <c r="D3" s="26">
        <v>162000</v>
      </c>
      <c r="E3" s="26">
        <f>C3*D3</f>
        <v>486000</v>
      </c>
      <c r="F3" s="21" t="s">
        <v>123</v>
      </c>
    </row>
    <row r="4" spans="1:6" x14ac:dyDescent="0.25">
      <c r="A4" s="7" t="s">
        <v>127</v>
      </c>
      <c r="B4" s="7" t="s">
        <v>126</v>
      </c>
      <c r="C4" s="11">
        <v>3</v>
      </c>
      <c r="D4" s="27">
        <v>160340</v>
      </c>
      <c r="E4" s="27">
        <f>C4*D4</f>
        <v>481020</v>
      </c>
      <c r="F4" s="22" t="s">
        <v>123</v>
      </c>
    </row>
    <row r="5" spans="1:6" x14ac:dyDescent="0.25">
      <c r="A5" s="15" t="s">
        <v>131</v>
      </c>
      <c r="B5" s="15" t="s">
        <v>128</v>
      </c>
      <c r="C5" s="17">
        <v>1</v>
      </c>
      <c r="D5" s="26">
        <v>3656000</v>
      </c>
      <c r="E5" s="26">
        <f t="shared" ref="E5:E11" si="0">C5*D5</f>
        <v>3656000</v>
      </c>
      <c r="F5" s="21" t="s">
        <v>123</v>
      </c>
    </row>
    <row r="6" spans="1:6" x14ac:dyDescent="0.25">
      <c r="A6" s="7" t="s">
        <v>132</v>
      </c>
      <c r="B6" s="7" t="s">
        <v>130</v>
      </c>
      <c r="C6" s="11">
        <v>6</v>
      </c>
      <c r="D6" s="27">
        <v>140335</v>
      </c>
      <c r="E6" s="27">
        <f t="shared" si="0"/>
        <v>842010</v>
      </c>
      <c r="F6" s="22" t="s">
        <v>123</v>
      </c>
    </row>
    <row r="7" spans="1:6" x14ac:dyDescent="0.25">
      <c r="A7" s="15" t="s">
        <v>133</v>
      </c>
      <c r="B7" s="15" t="s">
        <v>128</v>
      </c>
      <c r="C7" s="17">
        <v>1</v>
      </c>
      <c r="D7" s="26">
        <v>364000</v>
      </c>
      <c r="E7" s="26">
        <f t="shared" si="0"/>
        <v>364000</v>
      </c>
      <c r="F7" s="21" t="s">
        <v>123</v>
      </c>
    </row>
    <row r="8" spans="1:6" x14ac:dyDescent="0.25">
      <c r="A8" s="7" t="s">
        <v>134</v>
      </c>
      <c r="B8" s="7" t="s">
        <v>120</v>
      </c>
      <c r="C8" s="11">
        <v>16</v>
      </c>
      <c r="D8" s="27">
        <v>127790</v>
      </c>
      <c r="E8" s="27">
        <f t="shared" si="0"/>
        <v>2044640</v>
      </c>
      <c r="F8" s="22" t="s">
        <v>123</v>
      </c>
    </row>
    <row r="9" spans="1:6" x14ac:dyDescent="0.25">
      <c r="A9" s="15" t="s">
        <v>135</v>
      </c>
      <c r="B9" s="15" t="s">
        <v>136</v>
      </c>
      <c r="C9" s="17">
        <v>1</v>
      </c>
      <c r="D9" s="26">
        <v>96620</v>
      </c>
      <c r="E9" s="26">
        <f t="shared" si="0"/>
        <v>96620</v>
      </c>
      <c r="F9" s="21" t="s">
        <v>123</v>
      </c>
    </row>
    <row r="10" spans="1:6" x14ac:dyDescent="0.25">
      <c r="A10" s="7" t="s">
        <v>138</v>
      </c>
      <c r="B10" s="7" t="s">
        <v>137</v>
      </c>
      <c r="C10" s="11">
        <v>1</v>
      </c>
      <c r="D10" s="27">
        <v>94349</v>
      </c>
      <c r="E10" s="27">
        <f t="shared" si="0"/>
        <v>94349</v>
      </c>
      <c r="F10" s="22" t="s">
        <v>123</v>
      </c>
    </row>
    <row r="11" spans="1:6" ht="15.75" thickBot="1" x14ac:dyDescent="0.3">
      <c r="A11" s="18" t="s">
        <v>139</v>
      </c>
      <c r="B11" s="18" t="s">
        <v>137</v>
      </c>
      <c r="C11" s="19">
        <v>2</v>
      </c>
      <c r="D11" s="28">
        <v>24500</v>
      </c>
      <c r="E11" s="28">
        <f t="shared" si="0"/>
        <v>49000</v>
      </c>
      <c r="F11" s="23" t="s">
        <v>123</v>
      </c>
    </row>
    <row r="12" spans="1:6" ht="15.75" thickBot="1" x14ac:dyDescent="0.3">
      <c r="A12" s="24" t="s">
        <v>140</v>
      </c>
      <c r="B12" s="111"/>
      <c r="C12" s="112">
        <f>SUM(C2:C11)</f>
        <v>37</v>
      </c>
      <c r="D12" s="113"/>
      <c r="E12" s="114">
        <f>SUM(E2:E11)</f>
        <v>9265639</v>
      </c>
      <c r="F12" s="115"/>
    </row>
    <row r="13" spans="1:6" ht="15.75" thickTop="1" x14ac:dyDescent="0.25">
      <c r="A13" s="8"/>
      <c r="B13" s="8"/>
      <c r="C13" s="10"/>
      <c r="D13" s="9"/>
      <c r="F13" s="8"/>
    </row>
    <row r="14" spans="1:6" x14ac:dyDescent="0.25">
      <c r="A14" s="8"/>
      <c r="B14" s="8"/>
      <c r="C14" s="10"/>
      <c r="D14" s="9"/>
      <c r="F14" s="8"/>
    </row>
    <row r="15" spans="1:6" x14ac:dyDescent="0.25">
      <c r="A15" s="8"/>
      <c r="B15" s="8"/>
      <c r="C15" s="10"/>
      <c r="D15" s="9"/>
      <c r="F15" s="8"/>
    </row>
    <row r="16" spans="1:6" x14ac:dyDescent="0.25">
      <c r="A16" s="8"/>
      <c r="B16" s="8"/>
      <c r="C16" s="10"/>
      <c r="D16" s="9"/>
      <c r="F16" s="8"/>
    </row>
    <row r="17" spans="1:6" x14ac:dyDescent="0.25">
      <c r="A17" s="8"/>
      <c r="B17" s="8"/>
      <c r="C17" s="10"/>
      <c r="D17" s="9"/>
      <c r="F17" s="8"/>
    </row>
    <row r="18" spans="1:6" x14ac:dyDescent="0.25">
      <c r="A18" s="8"/>
      <c r="B18" s="8"/>
      <c r="C18" s="10"/>
      <c r="D18" s="9"/>
      <c r="F18" s="8"/>
    </row>
    <row r="19" spans="1:6" x14ac:dyDescent="0.25">
      <c r="A19" s="8"/>
      <c r="B19" s="8"/>
      <c r="C19" s="10"/>
      <c r="D19" s="9"/>
      <c r="F19" s="8"/>
    </row>
    <row r="20" spans="1:6" x14ac:dyDescent="0.25">
      <c r="A20" s="8"/>
      <c r="B20" s="8"/>
      <c r="C20" s="10"/>
      <c r="D20" s="9"/>
      <c r="F20" s="8"/>
    </row>
    <row r="21" spans="1:6" x14ac:dyDescent="0.25">
      <c r="A21" s="8"/>
      <c r="B21" s="8"/>
      <c r="C21" s="10"/>
      <c r="D21" s="9"/>
      <c r="F21" s="8"/>
    </row>
    <row r="22" spans="1:6" x14ac:dyDescent="0.25">
      <c r="A22" s="8"/>
      <c r="B22" s="8"/>
      <c r="C22" s="10"/>
      <c r="D22" s="9"/>
      <c r="F22" s="8"/>
    </row>
    <row r="23" spans="1:6" x14ac:dyDescent="0.25">
      <c r="A23" s="8"/>
      <c r="B23" s="8"/>
      <c r="C23" s="10"/>
      <c r="D23" s="9"/>
      <c r="F23" s="8"/>
    </row>
    <row r="24" spans="1:6" x14ac:dyDescent="0.25">
      <c r="A24" s="8"/>
      <c r="B24" s="8"/>
      <c r="C24" s="10"/>
      <c r="D24" s="9"/>
      <c r="F24" s="8"/>
    </row>
    <row r="25" spans="1:6" x14ac:dyDescent="0.25">
      <c r="A25" s="8"/>
      <c r="B25" s="8"/>
      <c r="C25" s="10"/>
      <c r="D25" s="9"/>
      <c r="F25" s="8"/>
    </row>
    <row r="26" spans="1:6" x14ac:dyDescent="0.25">
      <c r="A26" s="8"/>
      <c r="B26" s="8"/>
      <c r="C26" s="10"/>
      <c r="D26" s="9"/>
      <c r="F26" s="8"/>
    </row>
    <row r="27" spans="1:6" x14ac:dyDescent="0.25">
      <c r="A27" s="8"/>
      <c r="B27" s="8"/>
      <c r="C27" s="10"/>
      <c r="D27" s="9"/>
      <c r="F27" s="8"/>
    </row>
    <row r="28" spans="1:6" x14ac:dyDescent="0.25">
      <c r="A28" s="8"/>
      <c r="B28" s="8"/>
      <c r="C28" s="10"/>
      <c r="D28" s="9"/>
      <c r="F28" s="8"/>
    </row>
    <row r="29" spans="1:6" x14ac:dyDescent="0.25">
      <c r="A29" s="8"/>
      <c r="B29" s="8"/>
      <c r="C29" s="10"/>
      <c r="D29" s="9"/>
      <c r="F29" s="8"/>
    </row>
    <row r="30" spans="1:6" x14ac:dyDescent="0.25">
      <c r="A30" s="8"/>
      <c r="B30" s="8"/>
      <c r="C30" s="10"/>
      <c r="D30" s="9"/>
      <c r="F30" s="8"/>
    </row>
    <row r="31" spans="1:6" x14ac:dyDescent="0.25">
      <c r="B31" s="8"/>
      <c r="C31" s="10"/>
      <c r="D31" s="9"/>
      <c r="F31" s="8"/>
    </row>
    <row r="32" spans="1:6" x14ac:dyDescent="0.25">
      <c r="B32" s="8"/>
      <c r="C32" s="10"/>
      <c r="D32" s="9"/>
      <c r="F32" s="8"/>
    </row>
    <row r="33" spans="2:6" x14ac:dyDescent="0.25">
      <c r="B33" s="8"/>
      <c r="C33" s="8"/>
      <c r="D33" s="9"/>
      <c r="F33" s="8"/>
    </row>
    <row r="34" spans="2:6" x14ac:dyDescent="0.25">
      <c r="B34" s="8"/>
      <c r="C34" s="8"/>
      <c r="F34" s="8"/>
    </row>
    <row r="35" spans="2:6" x14ac:dyDescent="0.25">
      <c r="B35" s="8"/>
      <c r="C35" s="8"/>
      <c r="F35" s="8"/>
    </row>
    <row r="36" spans="2:6" x14ac:dyDescent="0.25">
      <c r="B36" s="8"/>
      <c r="C36" s="8"/>
      <c r="F36" s="8"/>
    </row>
    <row r="37" spans="2:6" x14ac:dyDescent="0.25">
      <c r="B37" s="8"/>
      <c r="C37" s="8"/>
      <c r="F37" s="8"/>
    </row>
    <row r="38" spans="2:6" x14ac:dyDescent="0.25">
      <c r="B38" s="8"/>
      <c r="C38" s="8"/>
      <c r="F38" s="8"/>
    </row>
    <row r="39" spans="2:6" x14ac:dyDescent="0.25">
      <c r="B39" s="8"/>
      <c r="C39" s="8"/>
    </row>
    <row r="40" spans="2:6" x14ac:dyDescent="0.25">
      <c r="B40" s="8"/>
      <c r="C40" s="8"/>
    </row>
    <row r="41" spans="2:6" x14ac:dyDescent="0.25">
      <c r="B41" s="8"/>
      <c r="C41" s="8"/>
    </row>
    <row r="42" spans="2:6" x14ac:dyDescent="0.25">
      <c r="B42" s="8"/>
      <c r="C42" s="8"/>
    </row>
    <row r="43" spans="2:6" x14ac:dyDescent="0.25">
      <c r="B43" s="8"/>
      <c r="C43" s="8"/>
    </row>
    <row r="44" spans="2:6" x14ac:dyDescent="0.25">
      <c r="B44" s="8"/>
      <c r="C44" s="8"/>
    </row>
    <row r="45" spans="2:6" x14ac:dyDescent="0.25">
      <c r="B45" s="8"/>
      <c r="C45" s="8"/>
    </row>
    <row r="46" spans="2:6" x14ac:dyDescent="0.25">
      <c r="B46" s="8"/>
      <c r="C46" s="8"/>
    </row>
    <row r="47" spans="2:6" x14ac:dyDescent="0.25">
      <c r="B47" s="8"/>
      <c r="C47" s="8"/>
    </row>
    <row r="48" spans="2:6" x14ac:dyDescent="0.25">
      <c r="B48" s="8"/>
      <c r="C48" s="8"/>
    </row>
    <row r="49" spans="2:3" x14ac:dyDescent="0.25">
      <c r="B49" s="8"/>
      <c r="C49" s="8"/>
    </row>
    <row r="50" spans="2:3" x14ac:dyDescent="0.25">
      <c r="B50" s="8"/>
      <c r="C50" s="8"/>
    </row>
    <row r="51" spans="2:3" x14ac:dyDescent="0.25">
      <c r="B51" s="8"/>
      <c r="C51" s="8"/>
    </row>
    <row r="52" spans="2:3" x14ac:dyDescent="0.25">
      <c r="B52" s="8"/>
      <c r="C52" s="8"/>
    </row>
    <row r="53" spans="2:3" x14ac:dyDescent="0.25">
      <c r="B53" s="8"/>
      <c r="C53" s="8"/>
    </row>
    <row r="54" spans="2:3" x14ac:dyDescent="0.25">
      <c r="B54" s="8"/>
      <c r="C54" s="8"/>
    </row>
    <row r="55" spans="2:3" x14ac:dyDescent="0.25">
      <c r="B55" s="8"/>
      <c r="C55" s="8"/>
    </row>
    <row r="56" spans="2:3" x14ac:dyDescent="0.25">
      <c r="B56" s="8"/>
      <c r="C56" s="8"/>
    </row>
    <row r="57" spans="2:3" x14ac:dyDescent="0.25">
      <c r="B57" s="8"/>
      <c r="C57" s="8"/>
    </row>
    <row r="58" spans="2:3" x14ac:dyDescent="0.25">
      <c r="B58" s="8"/>
      <c r="C58" s="8"/>
    </row>
    <row r="59" spans="2:3" x14ac:dyDescent="0.25">
      <c r="B59" s="8"/>
      <c r="C59" s="8"/>
    </row>
    <row r="60" spans="2:3" x14ac:dyDescent="0.25">
      <c r="B60" s="8"/>
    </row>
    <row r="61" spans="2:3" x14ac:dyDescent="0.25">
      <c r="B61" s="8"/>
    </row>
    <row r="62" spans="2:3" x14ac:dyDescent="0.25">
      <c r="B62" s="8"/>
    </row>
    <row r="63" spans="2:3" x14ac:dyDescent="0.25">
      <c r="B63" s="8"/>
    </row>
    <row r="64" spans="2:3" x14ac:dyDescent="0.25">
      <c r="B64" s="8"/>
    </row>
    <row r="65" spans="2:2" x14ac:dyDescent="0.25">
      <c r="B65" s="8"/>
    </row>
    <row r="66" spans="2:2" x14ac:dyDescent="0.25">
      <c r="B66" s="8"/>
    </row>
    <row r="67" spans="2:2" x14ac:dyDescent="0.25">
      <c r="B67" s="8"/>
    </row>
  </sheetData>
  <hyperlinks>
    <hyperlink ref="F2" r:id="rId1" xr:uid="{00000000-0004-0000-0300-000000000000}"/>
    <hyperlink ref="F3" r:id="rId2" xr:uid="{00000000-0004-0000-0300-000001000000}"/>
    <hyperlink ref="F4" r:id="rId3" xr:uid="{00000000-0004-0000-0300-000002000000}"/>
    <hyperlink ref="F5" r:id="rId4" xr:uid="{00000000-0004-0000-0300-000003000000}"/>
    <hyperlink ref="F6" r:id="rId5" xr:uid="{00000000-0004-0000-0300-000004000000}"/>
    <hyperlink ref="F7" r:id="rId6" xr:uid="{00000000-0004-0000-0300-000005000000}"/>
    <hyperlink ref="F8" r:id="rId7" xr:uid="{00000000-0004-0000-0300-000006000000}"/>
    <hyperlink ref="F9" r:id="rId8" xr:uid="{00000000-0004-0000-0300-000007000000}"/>
    <hyperlink ref="F10" r:id="rId9" xr:uid="{00000000-0004-0000-0300-000008000000}"/>
    <hyperlink ref="F11" r:id="rId10" xr:uid="{00000000-0004-0000-0300-000009000000}"/>
  </hyperlinks>
  <pageMargins left="0.7" right="0.7" top="0.75" bottom="0.75" header="0.3" footer="0.3"/>
  <pageSetup paperSize="0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VLANs</vt:lpstr>
      <vt:lpstr>DeviceIP</vt:lpstr>
      <vt:lpstr>Router IP</vt:lpstr>
      <vt:lpstr>Device$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3416TAN-06</dc:creator>
  <cp:lastModifiedBy>3406TAN-01</cp:lastModifiedBy>
  <dcterms:created xsi:type="dcterms:W3CDTF">2025-11-27T09:31:31Z</dcterms:created>
  <dcterms:modified xsi:type="dcterms:W3CDTF">2026-03-03T08:30:01Z</dcterms:modified>
</cp:coreProperties>
</file>